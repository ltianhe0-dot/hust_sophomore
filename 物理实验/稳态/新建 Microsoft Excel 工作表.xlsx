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大二\大二\大二上\物理实验\稳态\"/>
    </mc:Choice>
  </mc:AlternateContent>
  <xr:revisionPtr revIDLastSave="0" documentId="13_ncr:1_{B461E052-AFCB-46A2-A7C2-679489D5135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C19" i="1"/>
  <c r="D19" i="1"/>
  <c r="E19" i="1"/>
  <c r="F19" i="1"/>
  <c r="B19" i="1"/>
  <c r="H18" i="1"/>
  <c r="C18" i="1"/>
  <c r="D18" i="1"/>
  <c r="E18" i="1"/>
  <c r="F18" i="1"/>
  <c r="B18" i="1"/>
  <c r="C6" i="1"/>
  <c r="D6" i="1"/>
  <c r="E6" i="1"/>
  <c r="F6" i="1"/>
  <c r="G6" i="1"/>
  <c r="H6" i="1"/>
  <c r="I6" i="1"/>
  <c r="J6" i="1"/>
  <c r="K6" i="1"/>
  <c r="B6" i="1"/>
</calcChain>
</file>

<file path=xl/sharedStrings.xml><?xml version="1.0" encoding="utf-8"?>
<sst xmlns="http://schemas.openxmlformats.org/spreadsheetml/2006/main" count="3" uniqueCount="3">
  <si>
    <t>测量次数</t>
    <phoneticPr fontId="1" type="noConversion"/>
  </si>
  <si>
    <t>时间t/s</t>
    <phoneticPr fontId="1" type="noConversion"/>
  </si>
  <si>
    <t>C盘T(摄氏度）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</si>
</sst>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19"/>
  <sheetViews>
    <sheetView tabSelected="1" zoomScaleNormal="100" workbookViewId="0">
      <selection activeCell="H19" sqref="H19"/>
    </sheetView>
  </sheetViews>
  <sheetFormatPr defaultRowHeight="13.8" x14ac:dyDescent="0.25"/>
  <cols>
    <col min="8" max="8" width="15.44140625" bestFit="1" customWidth="1"/>
  </cols>
  <sheetData>
    <row r="5" spans="1:11" x14ac:dyDescent="0.25">
      <c r="A5" t="s">
        <v>0</v>
      </c>
      <c r="B5">
        <v>6</v>
      </c>
      <c r="C5">
        <v>7</v>
      </c>
      <c r="D5">
        <v>8</v>
      </c>
      <c r="E5">
        <v>9</v>
      </c>
      <c r="F5">
        <v>10</v>
      </c>
      <c r="G5">
        <v>11</v>
      </c>
      <c r="H5">
        <v>12</v>
      </c>
      <c r="I5">
        <v>13</v>
      </c>
      <c r="J5">
        <v>14</v>
      </c>
      <c r="K5">
        <v>15</v>
      </c>
    </row>
    <row r="6" spans="1:11" x14ac:dyDescent="0.25">
      <c r="A6" t="s">
        <v>1</v>
      </c>
      <c r="B6">
        <f>(B5-1)*30</f>
        <v>150</v>
      </c>
      <c r="C6">
        <f t="shared" ref="C6:K6" si="0">(C5-1)*30</f>
        <v>180</v>
      </c>
      <c r="D6">
        <f t="shared" si="0"/>
        <v>210</v>
      </c>
      <c r="E6">
        <f t="shared" si="0"/>
        <v>240</v>
      </c>
      <c r="F6">
        <f t="shared" si="0"/>
        <v>270</v>
      </c>
      <c r="G6">
        <f t="shared" si="0"/>
        <v>300</v>
      </c>
      <c r="H6">
        <f t="shared" si="0"/>
        <v>330</v>
      </c>
      <c r="I6">
        <f t="shared" si="0"/>
        <v>360</v>
      </c>
      <c r="J6">
        <f t="shared" si="0"/>
        <v>390</v>
      </c>
      <c r="K6">
        <f t="shared" si="0"/>
        <v>420</v>
      </c>
    </row>
    <row r="7" spans="1:11" x14ac:dyDescent="0.25">
      <c r="A7" t="s">
        <v>2</v>
      </c>
      <c r="B7">
        <v>46</v>
      </c>
      <c r="C7">
        <v>45.5</v>
      </c>
      <c r="D7">
        <v>45</v>
      </c>
      <c r="E7">
        <v>44.6</v>
      </c>
      <c r="F7">
        <v>44.1</v>
      </c>
      <c r="G7">
        <v>43.7</v>
      </c>
      <c r="H7">
        <v>43.3</v>
      </c>
      <c r="I7">
        <v>42.9</v>
      </c>
      <c r="J7">
        <v>42.5</v>
      </c>
      <c r="K7">
        <v>42.1</v>
      </c>
    </row>
    <row r="16" spans="1:11" x14ac:dyDescent="0.25">
      <c r="B16">
        <v>46</v>
      </c>
      <c r="C16">
        <v>45.5</v>
      </c>
      <c r="D16">
        <v>45</v>
      </c>
      <c r="E16">
        <v>44.6</v>
      </c>
      <c r="F16">
        <v>44.1</v>
      </c>
    </row>
    <row r="17" spans="2:8" x14ac:dyDescent="0.25">
      <c r="B17">
        <v>43.7</v>
      </c>
      <c r="C17">
        <v>43.3</v>
      </c>
      <c r="D17">
        <v>42.9</v>
      </c>
      <c r="E17">
        <v>42.5</v>
      </c>
      <c r="F17">
        <v>42.1</v>
      </c>
    </row>
    <row r="18" spans="2:8" x14ac:dyDescent="0.25">
      <c r="B18">
        <f>B16-B17</f>
        <v>2.2999999999999972</v>
      </c>
      <c r="C18">
        <f t="shared" ref="C18:F18" si="1">C16-C17</f>
        <v>2.2000000000000028</v>
      </c>
      <c r="D18">
        <f t="shared" si="1"/>
        <v>2.1000000000000014</v>
      </c>
      <c r="E18">
        <f t="shared" si="1"/>
        <v>2.1000000000000014</v>
      </c>
      <c r="F18">
        <f t="shared" si="1"/>
        <v>2</v>
      </c>
      <c r="H18">
        <f>SUM(B18:F18)/5</f>
        <v>2.1400000000000006</v>
      </c>
    </row>
    <row r="19" spans="2:8" x14ac:dyDescent="0.25">
      <c r="B19">
        <f>(B18-2.14)^2</f>
        <v>2.5599999999999051E-2</v>
      </c>
      <c r="C19">
        <f t="shared" ref="C19:F19" si="2">(C18-2.14)^2</f>
        <v>3.600000000000326E-3</v>
      </c>
      <c r="D19">
        <f t="shared" si="2"/>
        <v>1.5999999999998962E-3</v>
      </c>
      <c r="E19">
        <f t="shared" si="2"/>
        <v>1.5999999999998962E-3</v>
      </c>
      <c r="F19">
        <f t="shared" si="2"/>
        <v>1.9600000000000034E-2</v>
      </c>
      <c r="H19" s="1">
        <f>(SUM(B19:F19)/20)^(1/2)</f>
        <v>5.0990195135927459E-2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青矢</dc:creator>
  <cp:lastModifiedBy>天和 刘</cp:lastModifiedBy>
  <dcterms:created xsi:type="dcterms:W3CDTF">2015-06-05T18:19:34Z</dcterms:created>
  <dcterms:modified xsi:type="dcterms:W3CDTF">2025-10-23T09:20:07Z</dcterms:modified>
</cp:coreProperties>
</file>